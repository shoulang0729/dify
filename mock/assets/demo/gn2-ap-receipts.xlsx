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d57b8de1e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庫データ8件抜粋" sheetId="1" r:id="R0ebaff16ab20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m/dd"/>
    <x:numFmt numFmtId="201" formatCode="#,##0.0;(#,##0.0);&quot;—&quot;"/>
    <x:numFmt numFmtId="202" formatCode="#,##0;(#,##0);&quot;—&quot;"/>
  </x:numFmts>
  <x:fonts count="6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  <x:font>
      <x:b/>
      <x:sz val="11"/>
      <x:color rgb="FF15355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FFF2A8"/>
      </x:patternFill>
    </x:fill>
    <x:fill>
      <x:patternFill patternType="solid">
        <x:fgColor rgb="FFEAF4FB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202" fontId="1" fillId="0" borderId="7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2" fontId="1" fillId="3" borderId="6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7735cbb594b5f" /><Relationship Type="http://schemas.openxmlformats.org/officeDocument/2006/relationships/theme" Target="/xl/theme/theme1.xml" Id="R50feb3ba88424af9" /><Relationship Type="http://schemas.openxmlformats.org/officeDocument/2006/relationships/sharedStrings" Target="/xl/sharedStrings.xml" Id="R3da6caa11c914009" /><Relationship Type="http://schemas.openxmlformats.org/officeDocument/2006/relationships/worksheet" Target="/xl/worksheets/sheet1.xml" Id="R0ebaff16ab20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20" hidden="0" customWidth="1"/>
    <x:col min="4" max="4" width="17" hidden="0" customWidth="1"/>
    <x:col min="5" max="5" width="18" hidden="0" customWidth="1"/>
    <x:col min="6" max="6" width="10" hidden="0" customWidth="1"/>
    <x:col min="7" max="7" width="24" hidden="0" customWidth="1"/>
    <x:col min="8" max="8" width="16" hidden="0" customWidth="1"/>
    <x:col min="9" max="9" width="60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入庫データ8件抜粋</x:v>
      </x:c>
      <x:c r="B2" s="2"/>
      <x:c r="C2" s="2"/>
      <x:c r="D2" s="2"/>
      <x:c r="E2" s="2"/>
      <x:c r="F2" s="2"/>
      <x:c r="G2" s="2"/>
      <x:c r="H2" s="2"/>
      <x:c r="I2" s="2"/>
    </x:row>
    <x:row r="3" ht="32" customHeight="1">
      <x:c r="A3" s="4" t="str">
        <x:v>既存結果表8件の抜粋（架空資料）／40枚照合は台本</x:v>
      </x:c>
      <x:c r="B3" s="4"/>
      <x:c r="C3" s="4"/>
      <x:c r="D3" s="4"/>
      <x:c r="E3" s="4"/>
      <x:c r="F3" s="4"/>
      <x:c r="G3" s="4"/>
      <x:c r="H3" s="4"/>
      <x:c r="I3" s="4"/>
    </x:row>
    <x:row r="4" ht="32" customHeight="1">
      <x:c r="A4" s="4" t="str">
        <x:v>8件税込RMB 383,100／一致4件309,240／不一致4件73,860</x:v>
      </x:c>
      <x:c r="B4" s="4"/>
      <x:c r="C4" s="4"/>
      <x:c r="D4" s="4"/>
      <x:c r="E4" s="4"/>
      <x:c r="F4" s="4"/>
      <x:c r="G4" s="4"/>
      <x:c r="H4" s="4"/>
      <x:c r="I4" s="4"/>
    </x:row>
    <x:row r="5" ht="32" customHeight="1">
      <x:c r="A5" s="4" t="str">
        <x:v>数量・日付・番号の空欄は台本未提示。金額列は発票の税込額。</x:v>
      </x:c>
      <x:c r="B5" s="4"/>
      <x:c r="C5" s="4"/>
      <x:c r="D5" s="4"/>
      <x:c r="E5" s="4"/>
      <x:c r="F5" s="4"/>
      <x:c r="G5" s="4"/>
      <x:c r="H5" s="4"/>
      <x:c r="I5" s="4"/>
    </x:row>
    <x:row r="6" ht="14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44" customHeight="1">
      <x:c r="A7" s="14" t="str">
        <x:v>発票番号（台本表記）</x:v>
      </x:c>
      <x:c r="B7" s="15" t="str">
        <x:v>サプライヤー</x:v>
      </x:c>
      <x:c r="C7" s="15" t="str">
        <x:v>発注・契約</x:v>
      </x:c>
      <x:c r="D7" s="15" t="str">
        <x:v>入庫日</x:v>
      </x:c>
      <x:c r="E7" s="15" t="str">
        <x:v>実入庫・実績数量</x:v>
      </x:c>
      <x:c r="F7" s="15" t="str">
        <x:v>単位</x:v>
      </x:c>
      <x:c r="G7" s="15" t="str">
        <x:v>対応発票税込額(RMB)</x:v>
      </x:c>
      <x:c r="H7" s="15" t="str">
        <x:v>確認区分</x:v>
      </x:c>
      <x:c r="I7" s="16" t="str">
        <x:v>備考</x:v>
      </x:c>
    </x:row>
    <x:row r="8" ht="32" customHeight="1">
      <x:c r="A8" s="17" t="str">
        <x:v>0250812…33</x:v>
      </x:c>
      <x:c r="B8" s="17" t="str">
        <x:v>S 社（鋼板）</x:v>
      </x:c>
      <x:c r="C8" s="17" t="str">
        <x:v>PO-2508-011</x:v>
      </x:c>
      <x:c r="D8" s="23" t="n">
        <x:v>45888</x:v>
      </x:c>
      <x:c r="E8" s="32" t="n">
        <x:v>2.4</x:v>
      </x:c>
      <x:c r="F8" s="39" t="str">
        <x:v>t</x:v>
      </x:c>
      <x:c r="G8" s="34" t="n">
        <x:v>186420</x:v>
      </x:c>
      <x:c r="H8" s="17" t="str">
        <x:v>一致</x:v>
      </x:c>
      <x:c r="I8" s="42" t="str">
        <x:v>鋼板 2.4 t／入庫 8/19 一致</x:v>
      </x:c>
    </x:row>
    <x:row r="9" ht="32" customHeight="1">
      <x:c r="A9" s="18" t="str">
        <x:v>0250815…07</x:v>
      </x:c>
      <x:c r="B9" s="18" t="str">
        <x:v>S 工具</x:v>
      </x:c>
      <x:c r="C9" s="18" t="str">
        <x:v>PO-2508-019</x:v>
      </x:c>
      <x:c r="D9" s="24"/>
      <x:c r="E9" s="35" t="n">
        <x:v>120</x:v>
      </x:c>
      <x:c r="F9" s="40" t="str">
        <x:v>本</x:v>
      </x:c>
      <x:c r="G9" s="35" t="n">
        <x:v>22320</x:v>
      </x:c>
      <x:c r="H9" s="18" t="str">
        <x:v>一致</x:v>
      </x:c>
      <x:c r="I9" s="43" t="str">
        <x:v>工具120本一致／日付・税率は台本未提示</x:v>
      </x:c>
    </x:row>
    <x:row r="10" ht="32" customHeight="1">
      <x:c r="A10" s="18" t="str">
        <x:v>0250820…41</x:v>
      </x:c>
      <x:c r="B10" s="18" t="str">
        <x:v>塗装 S 社</x:v>
      </x:c>
      <x:c r="C10" s="18" t="str">
        <x:v>PO-2508-024</x:v>
      </x:c>
      <x:c r="D10" s="24"/>
      <x:c r="E10" s="45" t="n">
        <x:v>23400</x:v>
      </x:c>
      <x:c r="F10" s="40" t="str">
        <x:v>個</x:v>
      </x:c>
      <x:c r="G10" s="35" t="n">
        <x:v>48600</x:v>
      </x:c>
      <x:c r="H10" s="18" t="str">
        <x:v>数量差</x:v>
      </x:c>
      <x:c r="I10" s="46" t="str">
        <x:v>不良返却600個／RT-2508-04（8/22）／塗膜厚不足</x:v>
      </x:c>
    </x:row>
    <x:row r="11" ht="32" customHeight="1">
      <x:c r="A11" s="18" t="str">
        <x:v>0250822…18</x:v>
      </x:c>
      <x:c r="B11" s="18" t="str">
        <x:v>U 刀具</x:v>
      </x:c>
      <x:c r="C11" s="47"/>
      <x:c r="D11" s="24"/>
      <x:c r="E11" s="35"/>
      <x:c r="F11" s="40"/>
      <x:c r="G11" s="35" t="n">
        <x:v>3560</x:v>
      </x:c>
      <x:c r="H11" s="18" t="str">
        <x:v>POなし</x:v>
      </x:c>
      <x:c r="I11" s="43" t="str">
        <x:v>POなし／設備保全課の緊急購入（EX-0835関連）</x:v>
      </x:c>
    </x:row>
    <x:row r="12" ht="32" customHeight="1">
      <x:c r="A12" s="18" t="str">
        <x:v>0250826…52</x:v>
      </x:c>
      <x:c r="B12" s="18" t="str">
        <x:v>T 社（サンプル材）</x:v>
      </x:c>
      <x:c r="C12" s="18" t="str">
        <x:v>PO-2508-031</x:v>
      </x:c>
      <x:c r="D12" s="24" t="n">
        <x:v>45897</x:v>
      </x:c>
      <x:c r="E12" s="35"/>
      <x:c r="F12" s="40"/>
      <x:c r="G12" s="35" t="n">
        <x:v>4200</x:v>
      </x:c>
      <x:c r="H12" s="18" t="str">
        <x:v>一致</x:v>
      </x:c>
      <x:c r="I12" s="43" t="str">
        <x:v>サンプル材／数量・税率は台本未提示</x:v>
      </x:c>
    </x:row>
    <x:row r="13" ht="32" customHeight="1">
      <x:c r="A13" s="18" t="str">
        <x:v>0250828…09</x:v>
      </x:c>
      <x:c r="B13" s="18" t="str">
        <x:v>物流 W 社</x:v>
      </x:c>
      <x:c r="C13" s="18" t="str">
        <x:v>PO-2508-027</x:v>
      </x:c>
      <x:c r="D13" s="24"/>
      <x:c r="E13" s="35" t="n">
        <x:v>8</x:v>
      </x:c>
      <x:c r="F13" s="40" t="str">
        <x:v>便</x:v>
      </x:c>
      <x:c r="G13" s="35" t="n">
        <x:v>12800</x:v>
      </x:c>
      <x:c r="H13" s="18" t="str">
        <x:v>税率誤記</x:v>
      </x:c>
      <x:c r="I13" s="43" t="str">
        <x:v>実績8便／発票13%・台本上の正しい税率9%</x:v>
      </x:c>
    </x:row>
    <x:row r="14" ht="32" customHeight="1">
      <x:c r="A14" s="18" t="str">
        <x:v>0250829…66</x:v>
      </x:c>
      <x:c r="B14" s="18" t="str">
        <x:v>電力会社</x:v>
      </x:c>
      <x:c r="C14" s="18" t="str">
        <x:v>契約</x:v>
      </x:c>
      <x:c r="D14" s="24"/>
      <x:c r="E14" s="35"/>
      <x:c r="F14" s="40"/>
      <x:c r="G14" s="35" t="n">
        <x:v>96300</x:v>
      </x:c>
      <x:c r="H14" s="18" t="str">
        <x:v>一致</x:v>
      </x:c>
      <x:c r="I14" s="43" t="str">
        <x:v>契約／メーター実績／数量・税率は台本未提示</x:v>
      </x:c>
    </x:row>
    <x:row r="15" ht="32" customHeight="1">
      <x:c r="A15" s="19" t="str">
        <x:v>0250830…21</x:v>
      </x:c>
      <x:c r="B15" s="19" t="str">
        <x:v>K 社（有償支給材）</x:v>
      </x:c>
      <x:c r="C15" s="19" t="str">
        <x:v>PO-2508-035</x:v>
      </x:c>
      <x:c r="D15" s="25" t="n">
        <x:v>45899</x:v>
      </x:c>
      <x:c r="E15" s="37"/>
      <x:c r="F15" s="41"/>
      <x:c r="G15" s="37" t="n">
        <x:v>8900</x:v>
      </x:c>
      <x:c r="H15" s="19" t="str">
        <x:v>税号相違</x:v>
      </x:c>
      <x:c r="I15" s="44" t="str">
        <x:v>取引先台本はK 社常熟／発票税号はK 社上海（番号未提示）</x:v>
      </x:c>
    </x:row>
    <x:row r="16" ht="3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32" customHeight="1">
      <x:c r="A17" s="48" t="str">
        <x:v>8件抜粋合計</x:v>
      </x:c>
      <x:c r="B17" s="48"/>
      <x:c r="C17" s="48"/>
      <x:c r="D17" s="48"/>
      <x:c r="E17" s="48"/>
      <x:c r="F17" s="48"/>
      <x:c r="G17" s="51" t="n">
        <x:f>SUM(G8:G15)</x:f>
        <x:v>383100</x:v>
      </x:c>
      <x:c r="H17" s="48"/>
      <x:c r="I17" s="48"/>
    </x:row>
    <x:row r="18" ht="32" customHeight="1">
      <x:c r="A18" s="48" t="str">
        <x:v>うち一致4件</x:v>
      </x:c>
      <x:c r="B18" s="48"/>
      <x:c r="C18" s="48"/>
      <x:c r="D18" s="48"/>
      <x:c r="E18" s="48"/>
      <x:c r="F18" s="48"/>
      <x:c r="G18" s="50" t="n">
        <x:f>SUMIFS(G8:G15,H8:H15,"一致")</x:f>
        <x:v>309240</x:v>
      </x:c>
      <x:c r="H18" s="48"/>
      <x:c r="I18" s="48"/>
    </x:row>
    <x:row r="19" ht="32" customHeight="1">
      <x:c r="A19" s="48" t="str">
        <x:v>うち不一致4件</x:v>
      </x:c>
      <x:c r="B19" s="48"/>
      <x:c r="C19" s="48"/>
      <x:c r="D19" s="48"/>
      <x:c r="E19" s="48"/>
      <x:c r="F19" s="48"/>
      <x:c r="G19" s="50" t="n">
        <x:f>G17-G18</x:f>
        <x:v>73860</x:v>
      </x:c>
      <x:c r="H19" s="48"/>
      <x:c r="I19" s="48"/>
    </x:row>
    <x:row r="20" ht="32" customHeight="1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pageMargins left="0.7" right="0.7" top="0.75" bottom="0.75" header="0.3" footer="0.3"/>
</x:worksheet>
</file>